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z\Desktop\Electromagnetismo II\Laboratorio\"/>
    </mc:Choice>
  </mc:AlternateContent>
  <xr:revisionPtr revIDLastSave="0" documentId="13_ncr:1_{C62CC3FF-311C-4603-BDDF-B28A4F073FA0}" xr6:coauthVersionLast="47" xr6:coauthVersionMax="47" xr10:uidLastSave="{00000000-0000-0000-0000-000000000000}"/>
  <bookViews>
    <workbookView xWindow="-120" yWindow="-120" windowWidth="29040" windowHeight="15720" activeTab="2" xr2:uid="{643E6583-C556-4804-A192-C3BD10C43D36}"/>
  </bookViews>
  <sheets>
    <sheet name="Carga puntual." sheetId="1" r:id="rId1"/>
    <sheet name="Hilo de carga." sheetId="2" r:id="rId2"/>
    <sheet name="Báscula de corriente.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3" l="1"/>
  <c r="E2" i="3"/>
  <c r="D2" i="3"/>
  <c r="E3" i="3"/>
  <c r="E4" i="3"/>
  <c r="E5" i="3"/>
  <c r="E6" i="3"/>
  <c r="E7" i="3"/>
  <c r="E8" i="3"/>
  <c r="E9" i="3"/>
  <c r="E10" i="3"/>
  <c r="E11" i="3"/>
  <c r="F9" i="3"/>
  <c r="G9" i="3" s="1"/>
  <c r="G3" i="3"/>
  <c r="G4" i="3"/>
  <c r="G5" i="3"/>
  <c r="G6" i="3"/>
  <c r="G7" i="3"/>
  <c r="G8" i="3"/>
  <c r="G10" i="3"/>
  <c r="G11" i="3"/>
  <c r="F3" i="3"/>
  <c r="F4" i="3"/>
  <c r="F5" i="3"/>
  <c r="F6" i="3"/>
  <c r="F7" i="3"/>
  <c r="F8" i="3"/>
  <c r="F10" i="3"/>
  <c r="F11" i="3"/>
  <c r="G2" i="3"/>
  <c r="D3" i="3"/>
  <c r="D4" i="3"/>
  <c r="D5" i="3"/>
  <c r="D6" i="3"/>
  <c r="D7" i="3"/>
  <c r="D8" i="3"/>
  <c r="D9" i="3"/>
  <c r="D10" i="3"/>
  <c r="D11" i="3"/>
  <c r="C3" i="3"/>
  <c r="C4" i="3"/>
  <c r="C5" i="3"/>
  <c r="C6" i="3"/>
  <c r="C7" i="3"/>
  <c r="C8" i="3"/>
  <c r="C9" i="3"/>
  <c r="C10" i="3"/>
  <c r="C11" i="3"/>
  <c r="C2" i="3"/>
  <c r="B18" i="3"/>
  <c r="D3" i="2"/>
  <c r="D4" i="2"/>
  <c r="D5" i="2"/>
  <c r="D6" i="2"/>
  <c r="D7" i="2"/>
  <c r="D8" i="2"/>
  <c r="D9" i="2"/>
  <c r="D10" i="2"/>
  <c r="D11" i="2"/>
  <c r="D2" i="2"/>
  <c r="B14" i="2"/>
  <c r="B3" i="1"/>
  <c r="B4" i="1"/>
  <c r="B5" i="1"/>
  <c r="B6" i="1"/>
  <c r="B7" i="1"/>
  <c r="B8" i="1"/>
  <c r="B9" i="1"/>
  <c r="B10" i="1"/>
  <c r="B11" i="1"/>
  <c r="B2" i="1"/>
  <c r="D11" i="1"/>
  <c r="D3" i="1"/>
  <c r="D4" i="1"/>
  <c r="D5" i="1"/>
  <c r="D6" i="1"/>
  <c r="D7" i="1"/>
  <c r="D8" i="1"/>
  <c r="D9" i="1"/>
  <c r="D10" i="1"/>
  <c r="D2" i="1"/>
</calcChain>
</file>

<file path=xl/sharedStrings.xml><?xml version="1.0" encoding="utf-8"?>
<sst xmlns="http://schemas.openxmlformats.org/spreadsheetml/2006/main" count="24" uniqueCount="21">
  <si>
    <t>E(V/m).</t>
  </si>
  <si>
    <t>r(m).</t>
  </si>
  <si>
    <t>Teórico.</t>
  </si>
  <si>
    <t>1/r^2 &lt;-&gt; (1/m^2)</t>
  </si>
  <si>
    <t>r</t>
  </si>
  <si>
    <t>Ey(V/m).</t>
  </si>
  <si>
    <t>Lambda.</t>
  </si>
  <si>
    <t>Longitud.</t>
  </si>
  <si>
    <t>C/m.</t>
  </si>
  <si>
    <t>m.</t>
  </si>
  <si>
    <t>Teórico</t>
  </si>
  <si>
    <t>Masa</t>
  </si>
  <si>
    <t>mg.</t>
  </si>
  <si>
    <t>Kg.</t>
  </si>
  <si>
    <t>Intensidad (A).</t>
  </si>
  <si>
    <t>Masa aparente (mg).</t>
  </si>
  <si>
    <t>Diferencia de masa (mg)</t>
  </si>
  <si>
    <t>Fuerza magnética (N)</t>
  </si>
  <si>
    <t>B(T).</t>
  </si>
  <si>
    <t>B(G).</t>
  </si>
  <si>
    <t>Fuerza magnetica/Longitud (N/m).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</si>
</sst>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0" fillId="3" borderId="1" xfId="0" applyFill="1" applyBorder="1"/>
    <xf numFmtId="0" fontId="0" fillId="5" borderId="0" xfId="0" applyFill="1"/>
    <xf numFmtId="0" fontId="0" fillId="5" borderId="1" xfId="0" applyFill="1" applyBorder="1"/>
    <xf numFmtId="0" fontId="0" fillId="7" borderId="3" xfId="0" applyFill="1" applyBorder="1"/>
    <xf numFmtId="0" fontId="0" fillId="7" borderId="2" xfId="0" applyFill="1" applyBorder="1"/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0" fillId="5" borderId="7" xfId="0" applyFill="1" applyBorder="1"/>
    <xf numFmtId="0" fontId="0" fillId="10" borderId="0" xfId="0" applyFill="1" applyBorder="1"/>
    <xf numFmtId="0" fontId="0" fillId="10" borderId="8" xfId="0" applyFill="1" applyBorder="1"/>
    <xf numFmtId="0" fontId="0" fillId="10" borderId="9" xfId="0" applyFill="1" applyBorder="1"/>
    <xf numFmtId="0" fontId="6" fillId="6" borderId="10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0" fillId="9" borderId="12" xfId="0" applyFill="1" applyBorder="1"/>
    <xf numFmtId="0" fontId="0" fillId="9" borderId="13" xfId="0" applyFill="1" applyBorder="1"/>
    <xf numFmtId="0" fontId="0" fillId="10" borderId="14" xfId="0" applyFill="1" applyBorder="1"/>
    <xf numFmtId="0" fontId="0" fillId="10" borderId="15" xfId="0" applyFill="1" applyBorder="1"/>
    <xf numFmtId="0" fontId="0" fillId="10" borderId="17" xfId="0" applyFill="1" applyBorder="1"/>
    <xf numFmtId="0" fontId="2" fillId="2" borderId="1" xfId="0" applyFont="1" applyFill="1" applyBorder="1" applyAlignment="1">
      <alignment horizontal="center" vertical="center"/>
    </xf>
    <xf numFmtId="0" fontId="7" fillId="11" borderId="2" xfId="0" applyFont="1" applyFill="1" applyBorder="1"/>
    <xf numFmtId="0" fontId="7" fillId="11" borderId="3" xfId="0" applyFont="1" applyFill="1" applyBorder="1"/>
    <xf numFmtId="0" fontId="5" fillId="9" borderId="16" xfId="0" applyFont="1" applyFill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 wrapText="1"/>
    </xf>
    <xf numFmtId="0" fontId="7" fillId="7" borderId="2" xfId="0" applyFont="1" applyFill="1" applyBorder="1"/>
    <xf numFmtId="0" fontId="8" fillId="7" borderId="3" xfId="0" applyFont="1" applyFill="1" applyBorder="1"/>
    <xf numFmtId="0" fontId="0" fillId="13" borderId="0" xfId="0" applyFill="1"/>
    <xf numFmtId="0" fontId="9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/>
    <xf numFmtId="2" fontId="3" fillId="15" borderId="1" xfId="1" applyNumberFormat="1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Medición</a:t>
            </a:r>
            <a:r>
              <a:rPr lang="es-ES" baseline="0"/>
              <a:t> experimental vs Teórica.</a:t>
            </a:r>
            <a:endParaRPr lang="es-ES"/>
          </a:p>
        </c:rich>
      </c:tx>
      <c:layout>
        <c:manualLayout>
          <c:xMode val="edge"/>
          <c:yMode val="edge"/>
          <c:x val="0.16541666666666666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389420384951881"/>
          <c:y val="0.12541666666666668"/>
          <c:w val="0.82847462817147854"/>
          <c:h val="0.57639617964421119"/>
        </c:manualLayout>
      </c:layout>
      <c:scatterChart>
        <c:scatterStyle val="lineMarker"/>
        <c:varyColors val="0"/>
        <c:ser>
          <c:idx val="0"/>
          <c:order val="0"/>
          <c:tx>
            <c:strRef>
              <c:f>'Carga puntual.'!$C$1</c:f>
              <c:strCache>
                <c:ptCount val="1"/>
                <c:pt idx="0">
                  <c:v>E(V/m).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'Carga puntual.'!$A$2:$A$11</c:f>
              <c:numCache>
                <c:formatCode>General</c:formatCode>
                <c:ptCount val="10"/>
                <c:pt idx="0">
                  <c:v>0.4</c:v>
                </c:pt>
                <c:pt idx="1">
                  <c:v>0.6</c:v>
                </c:pt>
                <c:pt idx="2">
                  <c:v>0.8</c:v>
                </c:pt>
                <c:pt idx="3">
                  <c:v>1</c:v>
                </c:pt>
                <c:pt idx="4">
                  <c:v>1.2</c:v>
                </c:pt>
                <c:pt idx="5">
                  <c:v>1.4</c:v>
                </c:pt>
                <c:pt idx="6">
                  <c:v>1.6</c:v>
                </c:pt>
                <c:pt idx="7">
                  <c:v>1.8</c:v>
                </c:pt>
                <c:pt idx="8">
                  <c:v>2</c:v>
                </c:pt>
                <c:pt idx="9">
                  <c:v>2.2000000000000002</c:v>
                </c:pt>
              </c:numCache>
            </c:numRef>
          </c:xVal>
          <c:yVal>
            <c:numRef>
              <c:f>'Carga puntual.'!$C$2:$C$11</c:f>
              <c:numCache>
                <c:formatCode>General</c:formatCode>
                <c:ptCount val="10"/>
                <c:pt idx="0">
                  <c:v>57.8</c:v>
                </c:pt>
                <c:pt idx="1">
                  <c:v>25</c:v>
                </c:pt>
                <c:pt idx="2">
                  <c:v>14.4</c:v>
                </c:pt>
                <c:pt idx="3">
                  <c:v>8.8800000000000008</c:v>
                </c:pt>
                <c:pt idx="4">
                  <c:v>6.3</c:v>
                </c:pt>
                <c:pt idx="5">
                  <c:v>4.62</c:v>
                </c:pt>
                <c:pt idx="6">
                  <c:v>3.56</c:v>
                </c:pt>
                <c:pt idx="7">
                  <c:v>2.77</c:v>
                </c:pt>
                <c:pt idx="8">
                  <c:v>2.25</c:v>
                </c:pt>
                <c:pt idx="9">
                  <c:v>1.87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BA-4F74-8BD3-6D96D7D6CE26}"/>
            </c:ext>
          </c:extLst>
        </c:ser>
        <c:ser>
          <c:idx val="1"/>
          <c:order val="1"/>
          <c:tx>
            <c:strRef>
              <c:f>'Carga puntual.'!$D$1</c:f>
              <c:strCache>
                <c:ptCount val="1"/>
                <c:pt idx="0">
                  <c:v>Teórico.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'Carga puntual.'!$A$2:$A$11</c:f>
              <c:numCache>
                <c:formatCode>General</c:formatCode>
                <c:ptCount val="10"/>
                <c:pt idx="0">
                  <c:v>0.4</c:v>
                </c:pt>
                <c:pt idx="1">
                  <c:v>0.6</c:v>
                </c:pt>
                <c:pt idx="2">
                  <c:v>0.8</c:v>
                </c:pt>
                <c:pt idx="3">
                  <c:v>1</c:v>
                </c:pt>
                <c:pt idx="4">
                  <c:v>1.2</c:v>
                </c:pt>
                <c:pt idx="5">
                  <c:v>1.4</c:v>
                </c:pt>
                <c:pt idx="6">
                  <c:v>1.6</c:v>
                </c:pt>
                <c:pt idx="7">
                  <c:v>1.8</c:v>
                </c:pt>
                <c:pt idx="8">
                  <c:v>2</c:v>
                </c:pt>
                <c:pt idx="9">
                  <c:v>2.2000000000000002</c:v>
                </c:pt>
              </c:numCache>
            </c:numRef>
          </c:xVal>
          <c:yVal>
            <c:numRef>
              <c:f>'Carga puntual.'!$D$2:$D$11</c:f>
              <c:numCache>
                <c:formatCode>General</c:formatCode>
                <c:ptCount val="10"/>
                <c:pt idx="0">
                  <c:v>56.249999999999986</c:v>
                </c:pt>
                <c:pt idx="1">
                  <c:v>25</c:v>
                </c:pt>
                <c:pt idx="2">
                  <c:v>14.062499999999996</c:v>
                </c:pt>
                <c:pt idx="3">
                  <c:v>9</c:v>
                </c:pt>
                <c:pt idx="4">
                  <c:v>6.25</c:v>
                </c:pt>
                <c:pt idx="5">
                  <c:v>4.591836734693878</c:v>
                </c:pt>
                <c:pt idx="6">
                  <c:v>3.5156249999999991</c:v>
                </c:pt>
                <c:pt idx="7">
                  <c:v>2.7777777777777777</c:v>
                </c:pt>
                <c:pt idx="8">
                  <c:v>2.25</c:v>
                </c:pt>
                <c:pt idx="9">
                  <c:v>1.8595041322314048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BA-4F74-8BD3-6D96D7D6C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0546992"/>
        <c:axId val="1180547472"/>
      </c:scatterChart>
      <c:valAx>
        <c:axId val="1180546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r(m).</a:t>
                </a:r>
              </a:p>
            </c:rich>
          </c:tx>
          <c:layout>
            <c:manualLayout>
              <c:xMode val="edge"/>
              <c:yMode val="edge"/>
              <c:x val="0.46409601924759403"/>
              <c:y val="0.782036307961504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80547472"/>
        <c:crosses val="autoZero"/>
        <c:crossBetween val="midCat"/>
      </c:valAx>
      <c:valAx>
        <c:axId val="118054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 E(V/m).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286948089822105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80546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'Carga puntual.'!$C$1</c:f>
              <c:strCache>
                <c:ptCount val="1"/>
                <c:pt idx="0">
                  <c:v>E(V/m).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'Carga puntual.'!$B$2:$B$11</c:f>
              <c:numCache>
                <c:formatCode>General</c:formatCode>
                <c:ptCount val="10"/>
                <c:pt idx="0">
                  <c:v>6.2499999999999991</c:v>
                </c:pt>
                <c:pt idx="1">
                  <c:v>2.7777777777777777</c:v>
                </c:pt>
                <c:pt idx="2">
                  <c:v>1.5624999999999998</c:v>
                </c:pt>
                <c:pt idx="3">
                  <c:v>1</c:v>
                </c:pt>
                <c:pt idx="4">
                  <c:v>0.69444444444444442</c:v>
                </c:pt>
                <c:pt idx="5">
                  <c:v>0.51020408163265318</c:v>
                </c:pt>
                <c:pt idx="6">
                  <c:v>0.39062499999999994</c:v>
                </c:pt>
                <c:pt idx="7">
                  <c:v>0.30864197530864196</c:v>
                </c:pt>
                <c:pt idx="8">
                  <c:v>0.25</c:v>
                </c:pt>
                <c:pt idx="9">
                  <c:v>0.20661157024793386</c:v>
                </c:pt>
              </c:numCache>
            </c:numRef>
          </c:xVal>
          <c:yVal>
            <c:numRef>
              <c:f>'Carga puntual.'!$C$2:$C$11</c:f>
              <c:numCache>
                <c:formatCode>General</c:formatCode>
                <c:ptCount val="10"/>
                <c:pt idx="0">
                  <c:v>57.8</c:v>
                </c:pt>
                <c:pt idx="1">
                  <c:v>25</c:v>
                </c:pt>
                <c:pt idx="2">
                  <c:v>14.4</c:v>
                </c:pt>
                <c:pt idx="3">
                  <c:v>8.8800000000000008</c:v>
                </c:pt>
                <c:pt idx="4">
                  <c:v>6.3</c:v>
                </c:pt>
                <c:pt idx="5">
                  <c:v>4.62</c:v>
                </c:pt>
                <c:pt idx="6">
                  <c:v>3.56</c:v>
                </c:pt>
                <c:pt idx="7">
                  <c:v>2.77</c:v>
                </c:pt>
                <c:pt idx="8">
                  <c:v>2.25</c:v>
                </c:pt>
                <c:pt idx="9">
                  <c:v>1.87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B2-4299-AEEE-E412FC485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0502352"/>
        <c:axId val="1180499952"/>
      </c:scatterChart>
      <c:valAx>
        <c:axId val="1180502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1/r^2 (m^-2)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80499952"/>
        <c:crosses val="autoZero"/>
        <c:crossBetween val="midCat"/>
      </c:valAx>
      <c:valAx>
        <c:axId val="118049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E(V/m).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80502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Medición Experimental vs Teórica.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'Hilo de carga.'!$B$1</c:f>
              <c:strCache>
                <c:ptCount val="1"/>
                <c:pt idx="0">
                  <c:v>Ey(V/m).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'Hilo de carga.'!$A$2:$A$11</c:f>
              <c:numCache>
                <c:formatCode>General</c:formatCode>
                <c:ptCount val="10"/>
                <c:pt idx="0">
                  <c:v>0.5</c:v>
                </c:pt>
                <c:pt idx="1">
                  <c:v>0.7</c:v>
                </c:pt>
                <c:pt idx="2">
                  <c:v>0.9</c:v>
                </c:pt>
                <c:pt idx="3">
                  <c:v>1.1000000000000001</c:v>
                </c:pt>
                <c:pt idx="4">
                  <c:v>1.3</c:v>
                </c:pt>
                <c:pt idx="5">
                  <c:v>1.5</c:v>
                </c:pt>
                <c:pt idx="6">
                  <c:v>1.7</c:v>
                </c:pt>
                <c:pt idx="7">
                  <c:v>1.9</c:v>
                </c:pt>
                <c:pt idx="8">
                  <c:v>2.1</c:v>
                </c:pt>
                <c:pt idx="9">
                  <c:v>2.2999999999999998</c:v>
                </c:pt>
              </c:numCache>
            </c:numRef>
          </c:xVal>
          <c:yVal>
            <c:numRef>
              <c:f>'Hilo de carga.'!$B$2:$B$11</c:f>
              <c:numCache>
                <c:formatCode>General</c:formatCode>
                <c:ptCount val="10"/>
                <c:pt idx="0">
                  <c:v>140</c:v>
                </c:pt>
                <c:pt idx="1">
                  <c:v>100</c:v>
                </c:pt>
                <c:pt idx="2">
                  <c:v>77.400000000000006</c:v>
                </c:pt>
                <c:pt idx="3">
                  <c:v>63.9</c:v>
                </c:pt>
                <c:pt idx="4">
                  <c:v>52.6</c:v>
                </c:pt>
                <c:pt idx="5">
                  <c:v>44.6</c:v>
                </c:pt>
                <c:pt idx="6">
                  <c:v>38.9</c:v>
                </c:pt>
                <c:pt idx="7">
                  <c:v>34.299999999999997</c:v>
                </c:pt>
                <c:pt idx="8">
                  <c:v>30.2</c:v>
                </c:pt>
                <c:pt idx="9">
                  <c:v>26.7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6B-49F8-A84C-336B61F91042}"/>
            </c:ext>
          </c:extLst>
        </c:ser>
        <c:ser>
          <c:idx val="1"/>
          <c:order val="1"/>
          <c:tx>
            <c:strRef>
              <c:f>'Hilo de carga.'!$C$1</c:f>
              <c:strCache>
                <c:ptCount val="1"/>
              </c:strCache>
            </c:strRef>
          </c:tx>
          <c:spPr>
            <a:ln w="25400" cap="rnd">
              <a:noFill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'Hilo de carga.'!$A$2:$A$11</c:f>
              <c:numCache>
                <c:formatCode>General</c:formatCode>
                <c:ptCount val="10"/>
                <c:pt idx="0">
                  <c:v>0.5</c:v>
                </c:pt>
                <c:pt idx="1">
                  <c:v>0.7</c:v>
                </c:pt>
                <c:pt idx="2">
                  <c:v>0.9</c:v>
                </c:pt>
                <c:pt idx="3">
                  <c:v>1.1000000000000001</c:v>
                </c:pt>
                <c:pt idx="4">
                  <c:v>1.3</c:v>
                </c:pt>
                <c:pt idx="5">
                  <c:v>1.5</c:v>
                </c:pt>
                <c:pt idx="6">
                  <c:v>1.7</c:v>
                </c:pt>
                <c:pt idx="7">
                  <c:v>1.9</c:v>
                </c:pt>
                <c:pt idx="8">
                  <c:v>2.1</c:v>
                </c:pt>
                <c:pt idx="9">
                  <c:v>2.2999999999999998</c:v>
                </c:pt>
              </c:numCache>
            </c:numRef>
          </c:xVal>
          <c:yVal>
            <c:numRef>
              <c:f>'Hilo de carga.'!$C$2:$C$11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6B-49F8-A84C-336B61F91042}"/>
            </c:ext>
          </c:extLst>
        </c:ser>
        <c:ser>
          <c:idx val="2"/>
          <c:order val="2"/>
          <c:tx>
            <c:strRef>
              <c:f>'Hilo de carga.'!$D$1</c:f>
              <c:strCache>
                <c:ptCount val="1"/>
                <c:pt idx="0">
                  <c:v>Teórico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'Hilo de carga.'!$A$2:$A$11</c:f>
              <c:numCache>
                <c:formatCode>General</c:formatCode>
                <c:ptCount val="10"/>
                <c:pt idx="0">
                  <c:v>0.5</c:v>
                </c:pt>
                <c:pt idx="1">
                  <c:v>0.7</c:v>
                </c:pt>
                <c:pt idx="2">
                  <c:v>0.9</c:v>
                </c:pt>
                <c:pt idx="3">
                  <c:v>1.1000000000000001</c:v>
                </c:pt>
                <c:pt idx="4">
                  <c:v>1.3</c:v>
                </c:pt>
                <c:pt idx="5">
                  <c:v>1.5</c:v>
                </c:pt>
                <c:pt idx="6">
                  <c:v>1.7</c:v>
                </c:pt>
                <c:pt idx="7">
                  <c:v>1.9</c:v>
                </c:pt>
                <c:pt idx="8">
                  <c:v>2.1</c:v>
                </c:pt>
                <c:pt idx="9">
                  <c:v>2.2999999999999998</c:v>
                </c:pt>
              </c:numCache>
            </c:numRef>
          </c:xVal>
          <c:yVal>
            <c:numRef>
              <c:f>'Hilo de carga.'!$D$2:$D$11</c:f>
              <c:numCache>
                <c:formatCode>General</c:formatCode>
                <c:ptCount val="10"/>
                <c:pt idx="0">
                  <c:v>153.2736417279726</c:v>
                </c:pt>
                <c:pt idx="1">
                  <c:v>108.28598191461739</c:v>
                </c:pt>
                <c:pt idx="2">
                  <c:v>83.029048038634031</c:v>
                </c:pt>
                <c:pt idx="3">
                  <c:v>66.768790023020287</c:v>
                </c:pt>
                <c:pt idx="4">
                  <c:v>55.378964758126699</c:v>
                </c:pt>
                <c:pt idx="5">
                  <c:v>46.934515875715647</c:v>
                </c:pt>
                <c:pt idx="6">
                  <c:v>40.415701290103634</c:v>
                </c:pt>
                <c:pt idx="7">
                  <c:v>35.230897508989266</c:v>
                </c:pt>
                <c:pt idx="8">
                  <c:v>31.012307759873131</c:v>
                </c:pt>
                <c:pt idx="9">
                  <c:v>27.518440849449618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6B-49F8-A84C-336B61F91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0509072"/>
        <c:axId val="1180511472"/>
      </c:scatterChart>
      <c:valAx>
        <c:axId val="1180509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800"/>
                  <a:t>y(m).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80511472"/>
        <c:crosses val="autoZero"/>
        <c:crossBetween val="midCat"/>
      </c:valAx>
      <c:valAx>
        <c:axId val="118051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600"/>
                  <a:t>Ey(V/m).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80509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Ajuste lineal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7.834733158355206E-2"/>
          <c:y val="0.16708333333333336"/>
          <c:w val="0.89031933508311456"/>
          <c:h val="0.7069674103237095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1793153980752406"/>
                  <c:y val="1.8101851851851852E-2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'Báscula de corriente.'!$A$2:$A$11</c:f>
              <c:numCache>
                <c:formatCode>General</c:formatCode>
                <c:ptCount val="10"/>
                <c:pt idx="0">
                  <c:v>3.5</c:v>
                </c:pt>
                <c:pt idx="1">
                  <c:v>3</c:v>
                </c:pt>
                <c:pt idx="2">
                  <c:v>2.5</c:v>
                </c:pt>
                <c:pt idx="3">
                  <c:v>2</c:v>
                </c:pt>
                <c:pt idx="4">
                  <c:v>1.5</c:v>
                </c:pt>
                <c:pt idx="5">
                  <c:v>1</c:v>
                </c:pt>
                <c:pt idx="6">
                  <c:v>0.5</c:v>
                </c:pt>
                <c:pt idx="7">
                  <c:v>0</c:v>
                </c:pt>
                <c:pt idx="8">
                  <c:v>-0.5</c:v>
                </c:pt>
                <c:pt idx="9">
                  <c:v>-1</c:v>
                </c:pt>
              </c:numCache>
            </c:numRef>
          </c:xVal>
          <c:yVal>
            <c:numRef>
              <c:f>'Báscula de corriente.'!$E$2:$E$11</c:f>
              <c:numCache>
                <c:formatCode>General</c:formatCode>
                <c:ptCount val="10"/>
                <c:pt idx="0">
                  <c:v>7.0141500000000002E-3</c:v>
                </c:pt>
                <c:pt idx="1">
                  <c:v>5.9841E-3</c:v>
                </c:pt>
                <c:pt idx="2">
                  <c:v>5.0030999999999999E-3</c:v>
                </c:pt>
                <c:pt idx="3">
                  <c:v>4.0711499999999999E-3</c:v>
                </c:pt>
                <c:pt idx="4">
                  <c:v>2.99205E-3</c:v>
                </c:pt>
                <c:pt idx="5">
                  <c:v>2.0110499999999999E-3</c:v>
                </c:pt>
                <c:pt idx="6">
                  <c:v>9.8099999999999988E-4</c:v>
                </c:pt>
                <c:pt idx="7">
                  <c:v>0</c:v>
                </c:pt>
                <c:pt idx="8">
                  <c:v>-1.0300499999999998E-3</c:v>
                </c:pt>
                <c:pt idx="9">
                  <c:v>-2.0110499999999999E-3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FA-476C-9B63-0510B1374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0553232"/>
        <c:axId val="1180536912"/>
      </c:scatterChart>
      <c:valAx>
        <c:axId val="1180553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400"/>
                  <a:t>Intensidad(A).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80536912"/>
        <c:crosses val="autoZero"/>
        <c:crossBetween val="midCat"/>
      </c:valAx>
      <c:valAx>
        <c:axId val="118053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400"/>
                  <a:t>Fm/L (N/m).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80553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0</xdr:row>
      <xdr:rowOff>157162</xdr:rowOff>
    </xdr:from>
    <xdr:to>
      <xdr:col>10</xdr:col>
      <xdr:colOff>219075</xdr:colOff>
      <xdr:row>14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1FB6E27-6492-B26B-43CE-2628B3E8CB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566737</xdr:colOff>
      <xdr:row>11</xdr:row>
      <xdr:rowOff>147637</xdr:rowOff>
    </xdr:from>
    <xdr:to>
      <xdr:col>3</xdr:col>
      <xdr:colOff>1357312</xdr:colOff>
      <xdr:row>26</xdr:row>
      <xdr:rowOff>33337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A479B0A-7D7B-3AAC-8AF1-EE7D3BDBF6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271462</xdr:colOff>
      <xdr:row>0</xdr:row>
      <xdr:rowOff>261937</xdr:rowOff>
    </xdr:from>
    <xdr:to>
      <xdr:col>12</xdr:col>
      <xdr:colOff>271462</xdr:colOff>
      <xdr:row>13</xdr:row>
      <xdr:rowOff>242887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0876F9-FB7E-F07D-164D-9021A60A59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119062</xdr:colOff>
      <xdr:row>0</xdr:row>
      <xdr:rowOff>80962</xdr:rowOff>
    </xdr:from>
    <xdr:to>
      <xdr:col>13</xdr:col>
      <xdr:colOff>119062</xdr:colOff>
      <xdr:row>12</xdr:row>
      <xdr:rowOff>4762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C46F508-AE5A-BCC1-48CC-7B7E1421DE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73301-2403-4B6F-B4FA-128FF46C31BE}">
  <dimension ref="A1:G19"/>
  <sheetViews>
    <sheetView workbookViewId="0">
      <selection activeCell="C8" sqref="C8"/>
    </sheetView>
  </sheetViews>
  <sheetFormatPr baseColWidth="10" defaultRowHeight="15" x14ac:dyDescent="0.25"/>
  <cols>
    <col min="1" max="2" width="19.140625" customWidth="1"/>
    <col min="3" max="3" width="18.42578125" customWidth="1"/>
    <col min="4" max="4" width="20.5703125" customWidth="1"/>
  </cols>
  <sheetData>
    <row r="1" spans="1:4" ht="27.75" customHeight="1" x14ac:dyDescent="0.25">
      <c r="A1" s="20" t="s">
        <v>1</v>
      </c>
      <c r="B1" s="20" t="s">
        <v>3</v>
      </c>
      <c r="C1" s="20" t="s">
        <v>0</v>
      </c>
      <c r="D1" s="20" t="s">
        <v>2</v>
      </c>
    </row>
    <row r="2" spans="1:4" x14ac:dyDescent="0.25">
      <c r="A2" s="1">
        <v>0.4</v>
      </c>
      <c r="B2" s="1">
        <f>1/A2^2</f>
        <v>6.2499999999999991</v>
      </c>
      <c r="C2" s="1">
        <v>57.8</v>
      </c>
      <c r="D2" s="1">
        <f>9000000000*0.000000001/(A2^2)</f>
        <v>56.249999999999986</v>
      </c>
    </row>
    <row r="3" spans="1:4" x14ac:dyDescent="0.25">
      <c r="A3" s="1">
        <v>0.6</v>
      </c>
      <c r="B3" s="1">
        <f t="shared" ref="B3:B11" si="0">1/A3^2</f>
        <v>2.7777777777777777</v>
      </c>
      <c r="C3" s="1">
        <v>25</v>
      </c>
      <c r="D3" s="1">
        <f t="shared" ref="D3:D10" si="1">9000000000*0.000000001/(A3^2)</f>
        <v>25</v>
      </c>
    </row>
    <row r="4" spans="1:4" x14ac:dyDescent="0.25">
      <c r="A4" s="1">
        <v>0.8</v>
      </c>
      <c r="B4" s="1">
        <f t="shared" si="0"/>
        <v>1.5624999999999998</v>
      </c>
      <c r="C4" s="1">
        <v>14.4</v>
      </c>
      <c r="D4" s="1">
        <f t="shared" si="1"/>
        <v>14.062499999999996</v>
      </c>
    </row>
    <row r="5" spans="1:4" x14ac:dyDescent="0.25">
      <c r="A5" s="1">
        <v>1</v>
      </c>
      <c r="B5" s="1">
        <f t="shared" si="0"/>
        <v>1</v>
      </c>
      <c r="C5" s="1">
        <v>8.8800000000000008</v>
      </c>
      <c r="D5" s="1">
        <f t="shared" si="1"/>
        <v>9</v>
      </c>
    </row>
    <row r="6" spans="1:4" x14ac:dyDescent="0.25">
      <c r="A6" s="1">
        <v>1.2</v>
      </c>
      <c r="B6" s="1">
        <f t="shared" si="0"/>
        <v>0.69444444444444442</v>
      </c>
      <c r="C6" s="1">
        <v>6.3</v>
      </c>
      <c r="D6" s="1">
        <f t="shared" si="1"/>
        <v>6.25</v>
      </c>
    </row>
    <row r="7" spans="1:4" x14ac:dyDescent="0.25">
      <c r="A7" s="1">
        <v>1.4</v>
      </c>
      <c r="B7" s="1">
        <f t="shared" si="0"/>
        <v>0.51020408163265318</v>
      </c>
      <c r="C7" s="1">
        <v>4.62</v>
      </c>
      <c r="D7" s="1">
        <f t="shared" si="1"/>
        <v>4.591836734693878</v>
      </c>
    </row>
    <row r="8" spans="1:4" x14ac:dyDescent="0.25">
      <c r="A8" s="1">
        <v>1.6</v>
      </c>
      <c r="B8" s="1">
        <f t="shared" si="0"/>
        <v>0.39062499999999994</v>
      </c>
      <c r="C8" s="1">
        <v>3.56</v>
      </c>
      <c r="D8" s="1">
        <f t="shared" si="1"/>
        <v>3.5156249999999991</v>
      </c>
    </row>
    <row r="9" spans="1:4" x14ac:dyDescent="0.25">
      <c r="A9" s="1">
        <v>1.8</v>
      </c>
      <c r="B9" s="1">
        <f t="shared" si="0"/>
        <v>0.30864197530864196</v>
      </c>
      <c r="C9" s="1">
        <v>2.77</v>
      </c>
      <c r="D9" s="1">
        <f t="shared" si="1"/>
        <v>2.7777777777777777</v>
      </c>
    </row>
    <row r="10" spans="1:4" x14ac:dyDescent="0.25">
      <c r="A10" s="1">
        <v>2</v>
      </c>
      <c r="B10" s="1">
        <f t="shared" si="0"/>
        <v>0.25</v>
      </c>
      <c r="C10" s="1">
        <v>2.25</v>
      </c>
      <c r="D10" s="1">
        <f t="shared" si="1"/>
        <v>2.25</v>
      </c>
    </row>
    <row r="11" spans="1:4" x14ac:dyDescent="0.25">
      <c r="A11" s="1">
        <v>2.2000000000000002</v>
      </c>
      <c r="B11" s="1">
        <f t="shared" si="0"/>
        <v>0.20661157024793386</v>
      </c>
      <c r="C11" s="1">
        <v>1.87</v>
      </c>
      <c r="D11" s="1">
        <f>9000000000*0.000000001/(A11^2)</f>
        <v>1.8595041322314048</v>
      </c>
    </row>
    <row r="19" spans="7:7" x14ac:dyDescent="0.25">
      <c r="G19" t="s">
        <v>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5A9B4-6006-44FB-B1F5-98B0D4EB73C9}">
  <dimension ref="A1:E15"/>
  <sheetViews>
    <sheetView workbookViewId="0">
      <selection activeCell="L24" sqref="L24"/>
    </sheetView>
  </sheetViews>
  <sheetFormatPr baseColWidth="10" defaultRowHeight="15" x14ac:dyDescent="0.25"/>
  <cols>
    <col min="1" max="2" width="18.85546875" customWidth="1"/>
    <col min="3" max="3" width="4.85546875" customWidth="1"/>
    <col min="4" max="4" width="17.85546875" customWidth="1"/>
    <col min="5" max="5" width="2.5703125" customWidth="1"/>
  </cols>
  <sheetData>
    <row r="1" spans="1:5" ht="37.5" customHeight="1" x14ac:dyDescent="0.25">
      <c r="A1" s="6" t="s">
        <v>1</v>
      </c>
      <c r="B1" s="7" t="s">
        <v>5</v>
      </c>
      <c r="C1" s="8"/>
      <c r="D1" s="7" t="s">
        <v>10</v>
      </c>
      <c r="E1" s="18"/>
    </row>
    <row r="2" spans="1:5" x14ac:dyDescent="0.25">
      <c r="A2" s="9">
        <v>0.5</v>
      </c>
      <c r="B2" s="3">
        <v>140</v>
      </c>
      <c r="C2" s="10"/>
      <c r="D2" s="3">
        <f>9000000000*$B$14*2*$B$15/A2/SQRT(4*A2^2+$B$15^2)</f>
        <v>153.2736417279726</v>
      </c>
      <c r="E2" s="12"/>
    </row>
    <row r="3" spans="1:5" x14ac:dyDescent="0.25">
      <c r="A3" s="9">
        <v>0.7</v>
      </c>
      <c r="B3" s="3">
        <v>100</v>
      </c>
      <c r="C3" s="10"/>
      <c r="D3" s="3">
        <f t="shared" ref="D3:D11" si="0">9000000000*$B$14*2*$B$15/A3/SQRT(4*A3^2+$B$15^2)</f>
        <v>108.28598191461739</v>
      </c>
      <c r="E3" s="12"/>
    </row>
    <row r="4" spans="1:5" x14ac:dyDescent="0.25">
      <c r="A4" s="9">
        <v>0.9</v>
      </c>
      <c r="B4" s="3">
        <v>77.400000000000006</v>
      </c>
      <c r="C4" s="10"/>
      <c r="D4" s="3">
        <f t="shared" si="0"/>
        <v>83.029048038634031</v>
      </c>
      <c r="E4" s="12"/>
    </row>
    <row r="5" spans="1:5" x14ac:dyDescent="0.25">
      <c r="A5" s="9">
        <v>1.1000000000000001</v>
      </c>
      <c r="B5" s="3">
        <v>63.9</v>
      </c>
      <c r="C5" s="10"/>
      <c r="D5" s="3">
        <f t="shared" si="0"/>
        <v>66.768790023020287</v>
      </c>
      <c r="E5" s="12"/>
    </row>
    <row r="6" spans="1:5" x14ac:dyDescent="0.25">
      <c r="A6" s="9">
        <v>1.3</v>
      </c>
      <c r="B6" s="3">
        <v>52.6</v>
      </c>
      <c r="C6" s="10"/>
      <c r="D6" s="3">
        <f t="shared" si="0"/>
        <v>55.378964758126699</v>
      </c>
      <c r="E6" s="12"/>
    </row>
    <row r="7" spans="1:5" x14ac:dyDescent="0.25">
      <c r="A7" s="9">
        <v>1.5</v>
      </c>
      <c r="B7" s="3">
        <v>44.6</v>
      </c>
      <c r="C7" s="10"/>
      <c r="D7" s="3">
        <f t="shared" si="0"/>
        <v>46.934515875715647</v>
      </c>
      <c r="E7" s="12"/>
    </row>
    <row r="8" spans="1:5" x14ac:dyDescent="0.25">
      <c r="A8" s="9">
        <v>1.7</v>
      </c>
      <c r="B8" s="3">
        <v>38.9</v>
      </c>
      <c r="C8" s="10"/>
      <c r="D8" s="3">
        <f t="shared" si="0"/>
        <v>40.415701290103634</v>
      </c>
      <c r="E8" s="12"/>
    </row>
    <row r="9" spans="1:5" x14ac:dyDescent="0.25">
      <c r="A9" s="9">
        <v>1.9</v>
      </c>
      <c r="B9" s="3">
        <v>34.299999999999997</v>
      </c>
      <c r="C9" s="10"/>
      <c r="D9" s="3">
        <f t="shared" si="0"/>
        <v>35.230897508989266</v>
      </c>
      <c r="E9" s="12"/>
    </row>
    <row r="10" spans="1:5" x14ac:dyDescent="0.25">
      <c r="A10" s="9">
        <v>2.1</v>
      </c>
      <c r="B10" s="3">
        <v>30.2</v>
      </c>
      <c r="C10" s="10"/>
      <c r="D10" s="3">
        <f t="shared" si="0"/>
        <v>31.012307759873131</v>
      </c>
      <c r="E10" s="12"/>
    </row>
    <row r="11" spans="1:5" x14ac:dyDescent="0.25">
      <c r="A11" s="9">
        <v>2.2999999999999998</v>
      </c>
      <c r="B11" s="3">
        <v>26.7</v>
      </c>
      <c r="C11" s="10"/>
      <c r="D11" s="3">
        <f t="shared" si="0"/>
        <v>27.518440849449618</v>
      </c>
      <c r="E11" s="12"/>
    </row>
    <row r="12" spans="1:5" x14ac:dyDescent="0.25">
      <c r="A12" s="11"/>
      <c r="B12" s="10"/>
      <c r="C12" s="10"/>
      <c r="D12" s="10"/>
      <c r="E12" s="12"/>
    </row>
    <row r="13" spans="1:5" x14ac:dyDescent="0.25">
      <c r="A13" s="11"/>
      <c r="B13" s="10"/>
      <c r="C13" s="10"/>
      <c r="D13" s="10"/>
      <c r="E13" s="12"/>
    </row>
    <row r="14" spans="1:5" ht="36" customHeight="1" x14ac:dyDescent="0.25">
      <c r="A14" s="13" t="s">
        <v>6</v>
      </c>
      <c r="B14" s="5">
        <f>0.000000028/6.5</f>
        <v>4.3076923076923073E-9</v>
      </c>
      <c r="C14" s="4" t="s">
        <v>8</v>
      </c>
      <c r="D14" s="10"/>
      <c r="E14" s="12"/>
    </row>
    <row r="15" spans="1:5" ht="32.25" customHeight="1" thickBot="1" x14ac:dyDescent="0.3">
      <c r="A15" s="14" t="s">
        <v>7</v>
      </c>
      <c r="B15" s="15">
        <v>6.5</v>
      </c>
      <c r="C15" s="16" t="s">
        <v>9</v>
      </c>
      <c r="D15" s="19"/>
      <c r="E15" s="1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A267D-5A3C-41EE-9F4C-883EC1CCA8BF}">
  <dimension ref="A1:G19"/>
  <sheetViews>
    <sheetView tabSelected="1" workbookViewId="0">
      <selection activeCell="H19" sqref="H19"/>
    </sheetView>
  </sheetViews>
  <sheetFormatPr baseColWidth="10" defaultRowHeight="15" x14ac:dyDescent="0.25"/>
  <cols>
    <col min="1" max="1" width="20.28515625" customWidth="1"/>
    <col min="2" max="2" width="20.85546875" customWidth="1"/>
    <col min="3" max="3" width="20.140625" customWidth="1"/>
    <col min="4" max="4" width="19.140625" customWidth="1"/>
    <col min="5" max="5" width="26.85546875" customWidth="1"/>
    <col min="7" max="7" width="12" bestFit="1" customWidth="1"/>
  </cols>
  <sheetData>
    <row r="1" spans="1:7" ht="58.5" customHeight="1" x14ac:dyDescent="0.25">
      <c r="A1" s="29" t="s">
        <v>14</v>
      </c>
      <c r="B1" s="29" t="s">
        <v>15</v>
      </c>
      <c r="C1" s="29" t="s">
        <v>16</v>
      </c>
      <c r="D1" s="29" t="s">
        <v>17</v>
      </c>
      <c r="E1" s="29" t="s">
        <v>20</v>
      </c>
      <c r="F1" s="29" t="s">
        <v>18</v>
      </c>
      <c r="G1" s="29" t="s">
        <v>19</v>
      </c>
    </row>
    <row r="2" spans="1:7" ht="15" customHeight="1" x14ac:dyDescent="0.25">
      <c r="A2" s="30">
        <v>3.5</v>
      </c>
      <c r="B2" s="30">
        <v>647</v>
      </c>
      <c r="C2" s="30">
        <f>$B$17-B2</f>
        <v>143</v>
      </c>
      <c r="D2" s="30">
        <f>C2*0.000001*9.81</f>
        <v>1.4028300000000001E-3</v>
      </c>
      <c r="E2" s="30">
        <f>D2/$B$19</f>
        <v>7.0141500000000002E-3</v>
      </c>
      <c r="F2" s="30">
        <f>D2/A2/$B$19</f>
        <v>2.0040428571428573E-3</v>
      </c>
      <c r="G2" s="31">
        <f>F2/0.0001</f>
        <v>20.040428571428571</v>
      </c>
    </row>
    <row r="3" spans="1:7" x14ac:dyDescent="0.25">
      <c r="A3" s="30">
        <v>3</v>
      </c>
      <c r="B3" s="30">
        <v>668</v>
      </c>
      <c r="C3" s="30">
        <f t="shared" ref="C3:C11" si="0">$B$17-B3</f>
        <v>122</v>
      </c>
      <c r="D3" s="30">
        <f t="shared" ref="D3:D11" si="1">C3*0.000001*9.81</f>
        <v>1.1968200000000001E-3</v>
      </c>
      <c r="E3" s="30">
        <f t="shared" ref="E3:E11" si="2">D3/$B$19</f>
        <v>5.9841E-3</v>
      </c>
      <c r="F3" s="30">
        <f t="shared" ref="F3:F11" si="3">D3/A3/$B$19</f>
        <v>1.9946999999999999E-3</v>
      </c>
      <c r="G3" s="31">
        <f t="shared" ref="G3:G11" si="4">F3/0.0001</f>
        <v>19.946999999999999</v>
      </c>
    </row>
    <row r="4" spans="1:7" x14ac:dyDescent="0.25">
      <c r="A4" s="30">
        <v>2.5</v>
      </c>
      <c r="B4" s="30">
        <v>688</v>
      </c>
      <c r="C4" s="30">
        <f t="shared" si="0"/>
        <v>102</v>
      </c>
      <c r="D4" s="30">
        <f t="shared" si="1"/>
        <v>1.00062E-3</v>
      </c>
      <c r="E4" s="30">
        <f t="shared" si="2"/>
        <v>5.0030999999999999E-3</v>
      </c>
      <c r="F4" s="30">
        <f t="shared" si="3"/>
        <v>2.0012400000000001E-3</v>
      </c>
      <c r="G4" s="31">
        <f t="shared" si="4"/>
        <v>20.0124</v>
      </c>
    </row>
    <row r="5" spans="1:7" x14ac:dyDescent="0.25">
      <c r="A5" s="30">
        <v>2</v>
      </c>
      <c r="B5" s="30">
        <v>707</v>
      </c>
      <c r="C5" s="30">
        <f t="shared" si="0"/>
        <v>83</v>
      </c>
      <c r="D5" s="30">
        <f t="shared" si="1"/>
        <v>8.1422999999999999E-4</v>
      </c>
      <c r="E5" s="30">
        <f t="shared" si="2"/>
        <v>4.0711499999999999E-3</v>
      </c>
      <c r="F5" s="30">
        <f t="shared" si="3"/>
        <v>2.035575E-3</v>
      </c>
      <c r="G5" s="31">
        <f t="shared" si="4"/>
        <v>20.35575</v>
      </c>
    </row>
    <row r="6" spans="1:7" x14ac:dyDescent="0.25">
      <c r="A6" s="30">
        <v>1.5</v>
      </c>
      <c r="B6" s="30">
        <v>729</v>
      </c>
      <c r="C6" s="30">
        <f t="shared" si="0"/>
        <v>61</v>
      </c>
      <c r="D6" s="30">
        <f t="shared" si="1"/>
        <v>5.9841000000000007E-4</v>
      </c>
      <c r="E6" s="30">
        <f t="shared" si="2"/>
        <v>2.99205E-3</v>
      </c>
      <c r="F6" s="30">
        <f t="shared" si="3"/>
        <v>1.9946999999999999E-3</v>
      </c>
      <c r="G6" s="31">
        <f t="shared" si="4"/>
        <v>19.946999999999999</v>
      </c>
    </row>
    <row r="7" spans="1:7" x14ac:dyDescent="0.25">
      <c r="A7" s="30">
        <v>1</v>
      </c>
      <c r="B7" s="30">
        <v>749</v>
      </c>
      <c r="C7" s="30">
        <f t="shared" si="0"/>
        <v>41</v>
      </c>
      <c r="D7" s="30">
        <f t="shared" si="1"/>
        <v>4.0221000000000001E-4</v>
      </c>
      <c r="E7" s="30">
        <f t="shared" si="2"/>
        <v>2.0110499999999999E-3</v>
      </c>
      <c r="F7" s="30">
        <f t="shared" si="3"/>
        <v>2.0110499999999999E-3</v>
      </c>
      <c r="G7" s="31">
        <f t="shared" si="4"/>
        <v>20.110499999999998</v>
      </c>
    </row>
    <row r="8" spans="1:7" x14ac:dyDescent="0.25">
      <c r="A8" s="30">
        <v>0.5</v>
      </c>
      <c r="B8" s="30">
        <v>770</v>
      </c>
      <c r="C8" s="30">
        <f t="shared" si="0"/>
        <v>20</v>
      </c>
      <c r="D8" s="30">
        <f t="shared" si="1"/>
        <v>1.962E-4</v>
      </c>
      <c r="E8" s="30">
        <f t="shared" si="2"/>
        <v>9.8099999999999988E-4</v>
      </c>
      <c r="F8" s="30">
        <f t="shared" si="3"/>
        <v>1.9619999999999998E-3</v>
      </c>
      <c r="G8" s="31">
        <f t="shared" si="4"/>
        <v>19.619999999999997</v>
      </c>
    </row>
    <row r="9" spans="1:7" x14ac:dyDescent="0.25">
      <c r="A9" s="30">
        <v>0</v>
      </c>
      <c r="B9" s="30">
        <v>790</v>
      </c>
      <c r="C9" s="30">
        <f t="shared" si="0"/>
        <v>0</v>
      </c>
      <c r="D9" s="30">
        <f t="shared" si="1"/>
        <v>0</v>
      </c>
      <c r="E9" s="30">
        <f t="shared" si="2"/>
        <v>0</v>
      </c>
      <c r="F9" s="30">
        <f>IFERROR(D9/A9/$B$19,0)</f>
        <v>0</v>
      </c>
      <c r="G9" s="31">
        <f t="shared" si="4"/>
        <v>0</v>
      </c>
    </row>
    <row r="10" spans="1:7" x14ac:dyDescent="0.25">
      <c r="A10" s="30">
        <v>-0.5</v>
      </c>
      <c r="B10" s="30">
        <v>811</v>
      </c>
      <c r="C10" s="30">
        <f t="shared" si="0"/>
        <v>-21</v>
      </c>
      <c r="D10" s="30">
        <f t="shared" si="1"/>
        <v>-2.0600999999999999E-4</v>
      </c>
      <c r="E10" s="30">
        <f t="shared" si="2"/>
        <v>-1.0300499999999998E-3</v>
      </c>
      <c r="F10" s="30">
        <f t="shared" si="3"/>
        <v>2.0600999999999996E-3</v>
      </c>
      <c r="G10" s="31">
        <f t="shared" si="4"/>
        <v>20.600999999999996</v>
      </c>
    </row>
    <row r="11" spans="1:7" x14ac:dyDescent="0.25">
      <c r="A11" s="30">
        <v>-1</v>
      </c>
      <c r="B11" s="30">
        <v>831</v>
      </c>
      <c r="C11" s="30">
        <f t="shared" si="0"/>
        <v>-41</v>
      </c>
      <c r="D11" s="30">
        <f t="shared" si="1"/>
        <v>-4.0221000000000001E-4</v>
      </c>
      <c r="E11" s="30">
        <f t="shared" si="2"/>
        <v>-2.0110499999999999E-3</v>
      </c>
      <c r="F11" s="30">
        <f t="shared" si="3"/>
        <v>2.0110499999999999E-3</v>
      </c>
      <c r="G11" s="31">
        <f t="shared" si="4"/>
        <v>20.110499999999998</v>
      </c>
    </row>
    <row r="12" spans="1:7" ht="13.5" customHeight="1" x14ac:dyDescent="0.25">
      <c r="A12" s="2"/>
      <c r="B12" s="2"/>
      <c r="C12" s="2"/>
      <c r="D12" s="2"/>
      <c r="E12" s="2"/>
      <c r="F12" s="2"/>
      <c r="G12" s="2"/>
    </row>
    <row r="13" spans="1:7" hidden="1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ht="15" hidden="1" customHeight="1" x14ac:dyDescent="0.25">
      <c r="D15" s="28"/>
      <c r="E15" s="2"/>
      <c r="F15" s="28"/>
      <c r="G15" s="28"/>
    </row>
    <row r="16" spans="1:7" ht="15" hidden="1" customHeight="1" x14ac:dyDescent="0.25">
      <c r="D16" s="28"/>
      <c r="E16" s="2"/>
      <c r="F16" s="28"/>
      <c r="G16" s="28"/>
    </row>
    <row r="17" spans="1:7" ht="24" x14ac:dyDescent="0.4">
      <c r="A17" s="23" t="s">
        <v>11</v>
      </c>
      <c r="B17" s="21">
        <v>790</v>
      </c>
      <c r="C17" s="22" t="s">
        <v>12</v>
      </c>
      <c r="D17" s="2"/>
      <c r="E17" s="2"/>
      <c r="F17" s="2"/>
      <c r="G17" s="2"/>
    </row>
    <row r="18" spans="1:7" ht="24" x14ac:dyDescent="0.4">
      <c r="A18" s="24"/>
      <c r="B18" s="21">
        <f>0.00079</f>
        <v>7.9000000000000001E-4</v>
      </c>
      <c r="C18" s="22" t="s">
        <v>13</v>
      </c>
      <c r="D18" s="2"/>
      <c r="E18" s="2"/>
      <c r="F18" s="2"/>
      <c r="G18" s="2"/>
    </row>
    <row r="19" spans="1:7" ht="29.25" customHeight="1" x14ac:dyDescent="0.4">
      <c r="A19" s="25" t="s">
        <v>7</v>
      </c>
      <c r="B19" s="26">
        <v>0.2</v>
      </c>
      <c r="C19" s="27" t="s">
        <v>9</v>
      </c>
      <c r="D19" s="2"/>
      <c r="E19" s="2"/>
      <c r="F19" s="2"/>
      <c r="G19" s="2"/>
    </row>
  </sheetData>
  <mergeCells count="1">
    <mergeCell ref="A17:A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Carga puntual.</vt:lpstr>
      <vt:lpstr>Hilo de carga.</vt:lpstr>
      <vt:lpstr>Báscula de corriente.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Liz' Nuñez</dc:creator>
  <cp:lastModifiedBy>Liz' Nuñez</cp:lastModifiedBy>
  <dcterms:created xsi:type="dcterms:W3CDTF">2026-05-03T13:25:33Z</dcterms:created>
  <dcterms:modified xsi:type="dcterms:W3CDTF">2026-05-04T16:43:38Z</dcterms:modified>
</cp:coreProperties>
</file>